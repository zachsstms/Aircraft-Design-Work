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zselzman_calpoly_edu/Documents/"/>
    </mc:Choice>
  </mc:AlternateContent>
  <xr:revisionPtr revIDLastSave="511" documentId="8_{ABE0C918-0142-4E5F-A6AC-E349F764D1FF}" xr6:coauthVersionLast="47" xr6:coauthVersionMax="47" xr10:uidLastSave="{7F0B7FBA-5969-4E19-8870-E77938A34302}"/>
  <bookViews>
    <workbookView xWindow="-110" yWindow="-110" windowWidth="19420" windowHeight="11500" xr2:uid="{F099B40B-1541-4B48-87F5-E2644C038391}"/>
  </bookViews>
  <sheets>
    <sheet name="Initial Sizing Esti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" i="1" l="1"/>
  <c r="D20" i="1"/>
  <c r="E20" i="1" s="1"/>
  <c r="F20" i="1" s="1"/>
  <c r="G20" i="1" s="1"/>
  <c r="H20" i="1" s="1"/>
  <c r="C20" i="1"/>
  <c r="B6" i="1"/>
  <c r="B4" i="1"/>
  <c r="B21" i="1"/>
  <c r="J4" i="1"/>
  <c r="I4" i="1" s="1"/>
  <c r="H4" i="1" s="1"/>
  <c r="J5" i="1"/>
  <c r="I5" i="1" s="1"/>
  <c r="H5" i="1" s="1"/>
  <c r="J6" i="1"/>
  <c r="I6" i="1" s="1"/>
  <c r="H6" i="1" s="1"/>
  <c r="J7" i="1"/>
  <c r="I7" i="1" s="1"/>
  <c r="H7" i="1" s="1"/>
  <c r="J8" i="1"/>
  <c r="I8" i="1" s="1"/>
  <c r="H8" i="1" s="1"/>
  <c r="J9" i="1"/>
  <c r="I9" i="1" s="1"/>
  <c r="H9" i="1" s="1"/>
  <c r="J10" i="1"/>
  <c r="I10" i="1" s="1"/>
  <c r="H10" i="1" s="1"/>
  <c r="J11" i="1"/>
  <c r="I11" i="1" s="1"/>
  <c r="H11" i="1" s="1"/>
  <c r="J12" i="1"/>
  <c r="I12" i="1" s="1"/>
  <c r="H12" i="1" s="1"/>
  <c r="J3" i="1"/>
  <c r="I3" i="1" s="1"/>
  <c r="H3" i="1" s="1"/>
  <c r="B5" i="1"/>
  <c r="N3" i="1"/>
  <c r="N4" i="1"/>
  <c r="O2" i="1"/>
  <c r="M3" i="1"/>
  <c r="C5" i="1"/>
  <c r="C6" i="1"/>
  <c r="C7" i="1"/>
  <c r="C8" i="1"/>
  <c r="C9" i="1"/>
  <c r="C10" i="1"/>
  <c r="C11" i="1"/>
  <c r="C12" i="1"/>
  <c r="C4" i="1"/>
  <c r="H21" i="1" l="1"/>
  <c r="I20" i="1"/>
  <c r="J15" i="1"/>
  <c r="I15" i="1" s="1"/>
  <c r="H15" i="1" s="1"/>
  <c r="F12" i="1"/>
  <c r="G12" i="1"/>
  <c r="G4" i="1"/>
  <c r="F4" i="1"/>
  <c r="G5" i="1"/>
  <c r="F5" i="1"/>
  <c r="G6" i="1"/>
  <c r="F6" i="1"/>
  <c r="F7" i="1"/>
  <c r="G7" i="1"/>
  <c r="G8" i="1"/>
  <c r="F8" i="1"/>
  <c r="F9" i="1"/>
  <c r="G9" i="1"/>
  <c r="F10" i="1"/>
  <c r="G10" i="1"/>
  <c r="F11" i="1"/>
  <c r="G11" i="1"/>
  <c r="G3" i="1"/>
  <c r="F3" i="1"/>
  <c r="G21" i="1"/>
  <c r="Q2" i="1" a="1"/>
  <c r="L21" i="1" l="1" a="1"/>
  <c r="I21" i="1"/>
  <c r="F15" i="1"/>
  <c r="G15" i="1"/>
  <c r="A22" i="1"/>
  <c r="E21" i="1"/>
  <c r="C21" i="1"/>
  <c r="D21" i="1"/>
  <c r="F21" i="1"/>
  <c r="P22" i="1" l="1"/>
  <c r="P23" i="1" s="1"/>
  <c r="P24" i="1" s="1"/>
  <c r="P25" i="1" s="1"/>
  <c r="P26" i="1" s="1"/>
  <c r="P27" i="1" s="1"/>
  <c r="P28" i="1" s="1"/>
  <c r="O22" i="1"/>
  <c r="O23" i="1" s="1"/>
  <c r="O24" i="1" s="1"/>
  <c r="O25" i="1" s="1"/>
  <c r="O26" i="1" s="1"/>
  <c r="O27" i="1" s="1"/>
  <c r="O28" i="1" s="1"/>
  <c r="M22" i="1"/>
  <c r="M23" i="1" s="1"/>
  <c r="M24" i="1" s="1"/>
  <c r="M25" i="1" s="1"/>
  <c r="M26" i="1" s="1"/>
  <c r="M27" i="1" s="1"/>
  <c r="M28" i="1" s="1"/>
  <c r="S22" i="1"/>
  <c r="S23" i="1" s="1"/>
  <c r="S24" i="1" s="1"/>
  <c r="S25" i="1" s="1"/>
  <c r="S26" i="1" s="1"/>
  <c r="S27" i="1" s="1"/>
  <c r="S28" i="1" s="1"/>
  <c r="L22" i="1"/>
  <c r="L23" i="1" s="1"/>
  <c r="L24" i="1" s="1"/>
  <c r="L25" i="1" s="1"/>
  <c r="L26" i="1" s="1"/>
  <c r="L27" i="1" s="1"/>
  <c r="L28" i="1" s="1"/>
  <c r="R22" i="1"/>
  <c r="R23" i="1" s="1"/>
  <c r="R24" i="1" s="1"/>
  <c r="R25" i="1" s="1"/>
  <c r="R26" i="1" s="1"/>
  <c r="R27" i="1" s="1"/>
  <c r="R28" i="1" s="1"/>
  <c r="N22" i="1"/>
  <c r="N23" i="1" s="1"/>
  <c r="N24" i="1" s="1"/>
  <c r="N25" i="1" s="1"/>
  <c r="N26" i="1" s="1"/>
  <c r="N27" i="1" s="1"/>
  <c r="N28" i="1" s="1"/>
  <c r="Q22" i="1"/>
  <c r="Q23" i="1" s="1"/>
  <c r="Q24" i="1" s="1"/>
  <c r="Q25" i="1" s="1"/>
  <c r="Q26" i="1" s="1"/>
  <c r="Q27" i="1" s="1"/>
  <c r="Q28" i="1" s="1"/>
  <c r="A23" i="1"/>
  <c r="C22" i="1"/>
  <c r="E22" i="1"/>
  <c r="G22" i="1"/>
  <c r="I22" i="1"/>
  <c r="D22" i="1"/>
  <c r="F22" i="1"/>
  <c r="B22" i="1"/>
  <c r="H22" i="1"/>
  <c r="A24" i="1" l="1"/>
  <c r="D23" i="1"/>
  <c r="H23" i="1"/>
  <c r="B23" i="1"/>
  <c r="C23" i="1"/>
  <c r="E23" i="1"/>
  <c r="F23" i="1"/>
  <c r="G23" i="1"/>
  <c r="I23" i="1"/>
  <c r="A25" i="1" l="1"/>
  <c r="A26" i="1" s="1"/>
  <c r="D24" i="1"/>
  <c r="E24" i="1"/>
  <c r="B24" i="1"/>
  <c r="G24" i="1"/>
  <c r="H24" i="1"/>
  <c r="C24" i="1"/>
  <c r="F24" i="1"/>
  <c r="I24" i="1"/>
  <c r="G25" i="1" l="1"/>
  <c r="C25" i="1"/>
  <c r="H25" i="1"/>
  <c r="I25" i="1"/>
  <c r="B25" i="1"/>
  <c r="D25" i="1"/>
  <c r="F25" i="1"/>
  <c r="E25" i="1"/>
  <c r="A27" i="1" l="1"/>
  <c r="E26" i="1"/>
  <c r="I26" i="1"/>
  <c r="B26" i="1"/>
  <c r="C26" i="1"/>
  <c r="F26" i="1"/>
  <c r="G26" i="1"/>
  <c r="H26" i="1"/>
  <c r="D26" i="1"/>
  <c r="A28" i="1" l="1"/>
  <c r="K21" i="1" s="1" a="1"/>
  <c r="D27" i="1"/>
  <c r="F27" i="1"/>
  <c r="G27" i="1"/>
  <c r="H27" i="1"/>
  <c r="I27" i="1"/>
  <c r="C27" i="1"/>
  <c r="E27" i="1"/>
  <c r="B27" i="1"/>
  <c r="F28" i="1" l="1"/>
  <c r="C28" i="1"/>
  <c r="G28" i="1"/>
  <c r="I28" i="1"/>
  <c r="B28" i="1"/>
  <c r="D28" i="1"/>
  <c r="E28" i="1"/>
  <c r="H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<sst xmlns="http://schemas.openxmlformats.org/spreadsheetml/2006/main" count="32" uniqueCount="29">
  <si>
    <t>Design Requirements</t>
  </si>
  <si>
    <t>L/D</t>
  </si>
  <si>
    <t>SFC</t>
  </si>
  <si>
    <t>EWF</t>
  </si>
  <si>
    <t>Unknowns</t>
  </si>
  <si>
    <r>
      <t>W</t>
    </r>
    <r>
      <rPr>
        <vertAlign val="subscript"/>
        <sz val="12"/>
        <color theme="1"/>
        <rFont val="Times New Roman"/>
        <family val="1"/>
      </rPr>
      <t>TO</t>
    </r>
  </si>
  <si>
    <r>
      <t>W</t>
    </r>
    <r>
      <rPr>
        <vertAlign val="subscript"/>
        <sz val="12"/>
        <color theme="1"/>
        <rFont val="Times New Roman"/>
        <family val="1"/>
      </rPr>
      <t>f</t>
    </r>
  </si>
  <si>
    <r>
      <t>W</t>
    </r>
    <r>
      <rPr>
        <vertAlign val="subscript"/>
        <sz val="12"/>
        <color theme="1"/>
        <rFont val="Times New Roman"/>
        <family val="1"/>
      </rPr>
      <t>E</t>
    </r>
  </si>
  <si>
    <r>
      <t>W</t>
    </r>
    <r>
      <rPr>
        <vertAlign val="subscript"/>
        <sz val="12"/>
        <color theme="1"/>
        <rFont val="Times New Roman"/>
        <family val="1"/>
      </rPr>
      <t>pl</t>
    </r>
    <r>
      <rPr>
        <sz val="12"/>
        <color theme="1"/>
        <rFont val="Times New Roman"/>
        <family val="2"/>
      </rPr>
      <t xml:space="preserve"> (lbm)</t>
    </r>
  </si>
  <si>
    <t>Design Variables (Comp. Ass.)</t>
  </si>
  <si>
    <r>
      <t>AW</t>
    </r>
    <r>
      <rPr>
        <vertAlign val="subscript"/>
        <sz val="12"/>
        <color theme="1"/>
        <rFont val="Times New Roman"/>
        <family val="1"/>
      </rPr>
      <t>E</t>
    </r>
  </si>
  <si>
    <r>
      <t>BW</t>
    </r>
    <r>
      <rPr>
        <vertAlign val="subscript"/>
        <sz val="12"/>
        <color theme="1"/>
        <rFont val="Times New Roman"/>
        <family val="1"/>
      </rPr>
      <t>f</t>
    </r>
  </si>
  <si>
    <r>
      <t>CW</t>
    </r>
    <r>
      <rPr>
        <vertAlign val="subscript"/>
        <sz val="12"/>
        <color theme="1"/>
        <rFont val="Times New Roman"/>
        <family val="1"/>
      </rPr>
      <t>TO</t>
    </r>
  </si>
  <si>
    <t>D</t>
  </si>
  <si>
    <t>I</t>
  </si>
  <si>
    <t>II</t>
  </si>
  <si>
    <t>III</t>
  </si>
  <si>
    <t>Solution</t>
  </si>
  <si>
    <t>R (nmi)</t>
  </si>
  <si>
    <r>
      <t>V</t>
    </r>
    <r>
      <rPr>
        <vertAlign val="subscript"/>
        <sz val="12"/>
        <color theme="1"/>
        <rFont val="Times New Roman"/>
        <family val="1"/>
      </rPr>
      <t>cruise</t>
    </r>
    <r>
      <rPr>
        <sz val="12"/>
        <color theme="1"/>
        <rFont val="Times New Roman"/>
        <family val="2"/>
      </rPr>
      <t xml:space="preserve"> (knots)</t>
    </r>
  </si>
  <si>
    <r>
      <t>V</t>
    </r>
    <r>
      <rPr>
        <vertAlign val="subscript"/>
        <sz val="12"/>
        <color theme="1"/>
        <rFont val="Times New Roman"/>
        <family val="1"/>
      </rPr>
      <t xml:space="preserve">stall </t>
    </r>
    <r>
      <rPr>
        <sz val="12"/>
        <color theme="1"/>
        <rFont val="Times New Roman"/>
        <family val="1"/>
      </rPr>
      <t>(knots)</t>
    </r>
  </si>
  <si>
    <r>
      <t>S</t>
    </r>
    <r>
      <rPr>
        <vertAlign val="subscript"/>
        <sz val="12"/>
        <color theme="1"/>
        <rFont val="Times New Roman"/>
        <family val="1"/>
      </rPr>
      <t>TO</t>
    </r>
    <r>
      <rPr>
        <sz val="12"/>
        <color theme="1"/>
        <rFont val="Times New Roman"/>
        <family val="2"/>
      </rPr>
      <t xml:space="preserve"> (ft)</t>
    </r>
  </si>
  <si>
    <t>SFC (lbm/lbf * hr)</t>
  </si>
  <si>
    <t xml:space="preserve"> </t>
  </si>
  <si>
    <t>k</t>
  </si>
  <si>
    <t>z</t>
  </si>
  <si>
    <t>test</t>
  </si>
  <si>
    <t xml:space="preserve">                     EWF  
L/D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</si>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</sst>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ck">
        <color auto="1"/>
      </left>
      <right/>
      <top style="thick">
        <color auto="1"/>
      </top>
      <bottom/>
      <diagonal style="thin">
        <color auto="1"/>
      </diagonal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2" xfId="0" applyFont="1" applyBorder="1"/>
    <xf numFmtId="0" fontId="1" fillId="0" borderId="6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5" borderId="0" xfId="0" applyFont="1" applyFill="1"/>
    <xf numFmtId="0" fontId="1" fillId="5" borderId="19" xfId="0" applyFont="1" applyFill="1" applyBorder="1"/>
    <xf numFmtId="0" fontId="1" fillId="0" borderId="21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2" xfId="0" applyFont="1" applyBorder="1"/>
    <xf numFmtId="0" fontId="1" fillId="5" borderId="20" xfId="0" applyFont="1" applyFill="1" applyBorder="1" applyAlignment="1">
      <alignment horizontal="center" wrapText="1"/>
    </xf>
    <xf numFmtId="0" fontId="1" fillId="5" borderId="21" xfId="0" applyFont="1" applyFill="1" applyBorder="1"/>
    <xf numFmtId="0" fontId="1" fillId="5" borderId="21" xfId="0" applyFont="1" applyFill="1" applyBorder="1" applyAlignment="1">
      <alignment horizontal="center"/>
    </xf>
    <xf numFmtId="0" fontId="1" fillId="5" borderId="17" xfId="0" applyFont="1" applyFill="1" applyBorder="1"/>
    <xf numFmtId="0" fontId="1" fillId="5" borderId="23" xfId="0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43483060983002"/>
          <c:y val="0.13127131756815397"/>
          <c:w val="0.8527153409033883"/>
          <c:h val="0.6854519947043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'Initial Sizing Estimation'!$A$21</c:f>
              <c:strCache>
                <c:ptCount val="1"/>
                <c:pt idx="0">
                  <c:v>13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'Initial Sizing Estimation'!$L$21:$S$21</c:f>
              <c:numCache>
                <c:formatCode>General</c:formatCode>
                <c:ptCount val="8"/>
                <c:pt idx="0">
                  <c:v>0.56000000000000005</c:v>
                </c:pt>
                <c:pt idx="1">
                  <c:v>0.57000000000000006</c:v>
                </c:pt>
                <c:pt idx="2">
                  <c:v>0.58000000000000007</c:v>
                </c:pt>
                <c:pt idx="3">
                  <c:v>0.59000000000000008</c:v>
                </c:pt>
                <c:pt idx="4">
                  <c:v>0.60000000000000009</c:v>
                </c:pt>
                <c:pt idx="5">
                  <c:v>0.6100000000000001</c:v>
                </c:pt>
                <c:pt idx="6">
                  <c:v>0.62000000000000011</c:v>
                </c:pt>
                <c:pt idx="7">
                  <c:v>0.63000000000000012</c:v>
                </c:pt>
              </c:numCache>
            </c:numRef>
          </c:xVal>
          <c:yVal>
            <c:numRef>
              <c:f>'Initial Sizing Estimation'!$B$21:$I$21</c:f>
              <c:numCache>
                <c:formatCode>General</c:formatCode>
                <c:ptCount val="8"/>
                <c:pt idx="0">
                  <c:v>84167.866100760613</c:v>
                </c:pt>
                <c:pt idx="1">
                  <c:v>87336.364118364843</c:v>
                </c:pt>
                <c:pt idx="2">
                  <c:v>90752.749988063311</c:v>
                </c:pt>
                <c:pt idx="3">
                  <c:v>94447.298284736913</c:v>
                </c:pt>
                <c:pt idx="4">
                  <c:v>98455.422714417276</c:v>
                </c:pt>
                <c:pt idx="5">
                  <c:v>102818.8149060422</c:v>
                </c:pt>
                <c:pt idx="6">
                  <c:v>107586.90006288741</c:v>
                </c:pt>
                <c:pt idx="7">
                  <c:v>112818.71733312088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AB4-4A06-8E0E-1D63DA0C5CD6}"/>
            </c:ext>
          </c:extLst>
        </c:ser>
        <c:ser>
          <c:idx val="1"/>
          <c:order val="1"/>
          <c:tx>
            <c:strRef>
              <c:f>'Initial Sizing Estimation'!$A$22</c:f>
              <c:strCache>
                <c:ptCount val="1"/>
                <c:pt idx="0">
                  <c:v>14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'Initial Sizing Estimation'!$L$22:$S$22</c:f>
              <c:numCache>
                <c:formatCode>General</c:formatCode>
                <c:ptCount val="8"/>
                <c:pt idx="0">
                  <c:v>0.57000000000000006</c:v>
                </c:pt>
                <c:pt idx="1">
                  <c:v>0.58000000000000007</c:v>
                </c:pt>
                <c:pt idx="2">
                  <c:v>0.59000000000000008</c:v>
                </c:pt>
                <c:pt idx="3">
                  <c:v>0.60000000000000009</c:v>
                </c:pt>
                <c:pt idx="4">
                  <c:v>0.6100000000000001</c:v>
                </c:pt>
                <c:pt idx="5">
                  <c:v>0.62000000000000011</c:v>
                </c:pt>
                <c:pt idx="6">
                  <c:v>0.63000000000000012</c:v>
                </c:pt>
                <c:pt idx="7">
                  <c:v>0.64000000000000012</c:v>
                </c:pt>
              </c:numCache>
            </c:numRef>
          </c:xVal>
          <c:yVal>
            <c:numRef>
              <c:f>'Initial Sizing Estimation'!$B$22:$I$22</c:f>
              <c:numCache>
                <c:formatCode>General</c:formatCode>
                <c:ptCount val="8"/>
                <c:pt idx="0">
                  <c:v>80998.1753791581</c:v>
                </c:pt>
                <c:pt idx="1">
                  <c:v>83928.367013041148</c:v>
                </c:pt>
                <c:pt idx="2">
                  <c:v>87078.521366578716</c:v>
                </c:pt>
                <c:pt idx="3">
                  <c:v>90474.372477308512</c:v>
                </c:pt>
                <c:pt idx="4">
                  <c:v>94145.831542014625</c:v>
                </c:pt>
                <c:pt idx="5">
                  <c:v>98127.870312720683</c:v>
                </c:pt>
                <c:pt idx="6">
                  <c:v>102461.63858113377</c:v>
                </c:pt>
                <c:pt idx="7">
                  <c:v>107195.89146414303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AB4-4A06-8E0E-1D63DA0C5CD6}"/>
            </c:ext>
          </c:extLst>
        </c:ser>
        <c:ser>
          <c:idx val="2"/>
          <c:order val="2"/>
          <c:tx>
            <c:strRef>
              <c:f>'Initial Sizing Estimation'!$A$23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'Initial Sizing Estimation'!$L$23:$S$23</c:f>
              <c:numCache>
                <c:formatCode>General</c:formatCode>
                <c:ptCount val="8"/>
                <c:pt idx="0">
                  <c:v>0.58000000000000007</c:v>
                </c:pt>
                <c:pt idx="1">
                  <c:v>0.59000000000000008</c:v>
                </c:pt>
                <c:pt idx="2">
                  <c:v>0.60000000000000009</c:v>
                </c:pt>
                <c:pt idx="3">
                  <c:v>0.6100000000000001</c:v>
                </c:pt>
                <c:pt idx="4">
                  <c:v>0.62000000000000011</c:v>
                </c:pt>
                <c:pt idx="5">
                  <c:v>0.63000000000000012</c:v>
                </c:pt>
                <c:pt idx="6">
                  <c:v>0.64000000000000012</c:v>
                </c:pt>
                <c:pt idx="7">
                  <c:v>0.65000000000000013</c:v>
                </c:pt>
              </c:numCache>
            </c:numRef>
          </c:xVal>
          <c:yVal>
            <c:numRef>
              <c:f>'Initial Sizing Estimation'!$B$23:$I$23</c:f>
              <c:numCache>
                <c:formatCode>General</c:formatCode>
                <c:ptCount val="8"/>
                <c:pt idx="0">
                  <c:v>78408.277911236772</c:v>
                </c:pt>
                <c:pt idx="1">
                  <c:v>81150.908509139335</c:v>
                </c:pt>
                <c:pt idx="2">
                  <c:v>84092.361766032773</c:v>
                </c:pt>
                <c:pt idx="3">
                  <c:v>87255.070809316327</c:v>
                </c:pt>
                <c:pt idx="4">
                  <c:v>90664.975488709548</c:v>
                </c:pt>
                <c:pt idx="5">
                  <c:v>94352.235451877408</c:v>
                </c:pt>
                <c:pt idx="6">
                  <c:v>98352.124597217524</c:v>
                </c:pt>
                <c:pt idx="7">
                  <c:v>102706.16311064885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AB4-4A06-8E0E-1D63DA0C5CD6}"/>
            </c:ext>
          </c:extLst>
        </c:ser>
        <c:ser>
          <c:idx val="3"/>
          <c:order val="3"/>
          <c:tx>
            <c:strRef>
              <c:f>'Initial Sizing Estimation'!$A$24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'Initial Sizing Estimation'!$L$24:$S$24</c:f>
              <c:numCache>
                <c:formatCode>General</c:formatCode>
                <c:ptCount val="8"/>
                <c:pt idx="0">
                  <c:v>0.59000000000000008</c:v>
                </c:pt>
                <c:pt idx="1">
                  <c:v>0.60000000000000009</c:v>
                </c:pt>
                <c:pt idx="2">
                  <c:v>0.6100000000000001</c:v>
                </c:pt>
                <c:pt idx="3">
                  <c:v>0.62000000000000011</c:v>
                </c:pt>
                <c:pt idx="4">
                  <c:v>0.63000000000000012</c:v>
                </c:pt>
                <c:pt idx="5">
                  <c:v>0.64000000000000012</c:v>
                </c:pt>
                <c:pt idx="6">
                  <c:v>0.65000000000000013</c:v>
                </c:pt>
                <c:pt idx="7">
                  <c:v>0.66000000000000014</c:v>
                </c:pt>
              </c:numCache>
            </c:numRef>
          </c:xVal>
          <c:yVal>
            <c:numRef>
              <c:f>'Initial Sizing Estimation'!$B$24:$I$24</c:f>
              <c:numCache>
                <c:formatCode>General</c:formatCode>
                <c:ptCount val="8"/>
                <c:pt idx="0">
                  <c:v>76252.545305798121</c:v>
                </c:pt>
                <c:pt idx="1">
                  <c:v>78843.946870821965</c:v>
                </c:pt>
                <c:pt idx="2">
                  <c:v>81617.679627846839</c:v>
                </c:pt>
                <c:pt idx="3">
                  <c:v>84593.688492465793</c:v>
                </c:pt>
                <c:pt idx="4">
                  <c:v>87794.937453749415</c:v>
                </c:pt>
                <c:pt idx="5">
                  <c:v>91248.003290682609</c:v>
                </c:pt>
                <c:pt idx="6">
                  <c:v>94983.815133736382</c:v>
                </c:pt>
                <c:pt idx="7">
                  <c:v>99038.583453501255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AB4-4A06-8E0E-1D63DA0C5CD6}"/>
            </c:ext>
          </c:extLst>
        </c:ser>
        <c:ser>
          <c:idx val="4"/>
          <c:order val="4"/>
          <c:tx>
            <c:strRef>
              <c:f>'Initial Sizing Estimation'!$A$25</c:f>
              <c:strCache>
                <c:ptCount val="1"/>
                <c:pt idx="0">
                  <c:v>17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'Initial Sizing Estimation'!$L$25:$S$25</c:f>
              <c:numCache>
                <c:formatCode>General</c:formatCode>
                <c:ptCount val="8"/>
                <c:pt idx="0">
                  <c:v>0.60000000000000009</c:v>
                </c:pt>
                <c:pt idx="1">
                  <c:v>0.6100000000000001</c:v>
                </c:pt>
                <c:pt idx="2">
                  <c:v>0.62000000000000011</c:v>
                </c:pt>
                <c:pt idx="3">
                  <c:v>0.63000000000000012</c:v>
                </c:pt>
                <c:pt idx="4">
                  <c:v>0.64000000000000012</c:v>
                </c:pt>
                <c:pt idx="5">
                  <c:v>0.65000000000000013</c:v>
                </c:pt>
                <c:pt idx="6">
                  <c:v>0.66000000000000014</c:v>
                </c:pt>
                <c:pt idx="7">
                  <c:v>0.67000000000000015</c:v>
                </c:pt>
              </c:numCache>
            </c:numRef>
          </c:xVal>
          <c:yVal>
            <c:numRef>
              <c:f>'Initial Sizing Estimation'!$B$25:$I$25</c:f>
              <c:numCache>
                <c:formatCode>General</c:formatCode>
                <c:ptCount val="8"/>
                <c:pt idx="0">
                  <c:v>74430.327181257628</c:v>
                </c:pt>
                <c:pt idx="1">
                  <c:v>76897.350881909573</c:v>
                </c:pt>
                <c:pt idx="2">
                  <c:v>79533.522068716557</c:v>
                </c:pt>
                <c:pt idx="3">
                  <c:v>82356.854260901688</c:v>
                </c:pt>
                <c:pt idx="4">
                  <c:v>85388.012940813132</c:v>
                </c:pt>
                <c:pt idx="5">
                  <c:v>88650.822232181774</c:v>
                </c:pt>
                <c:pt idx="6">
                  <c:v>92172.892359414749</c:v>
                </c:pt>
                <c:pt idx="7">
                  <c:v>95986.402867821278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AB4-4A06-8E0E-1D63DA0C5CD6}"/>
            </c:ext>
          </c:extLst>
        </c:ser>
        <c:ser>
          <c:idx val="5"/>
          <c:order val="5"/>
          <c:tx>
            <c:strRef>
              <c:f>'Initial Sizing Estimation'!$A$26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'Initial Sizing Estimation'!$L$26:$S$26</c:f>
              <c:numCache>
                <c:formatCode>General</c:formatCode>
                <c:ptCount val="8"/>
                <c:pt idx="0">
                  <c:v>0.6100000000000001</c:v>
                </c:pt>
                <c:pt idx="1">
                  <c:v>0.62000000000000011</c:v>
                </c:pt>
                <c:pt idx="2">
                  <c:v>0.63000000000000012</c:v>
                </c:pt>
                <c:pt idx="3">
                  <c:v>0.64000000000000012</c:v>
                </c:pt>
                <c:pt idx="4">
                  <c:v>0.65000000000000013</c:v>
                </c:pt>
                <c:pt idx="5">
                  <c:v>0.66000000000000014</c:v>
                </c:pt>
                <c:pt idx="6">
                  <c:v>0.67000000000000015</c:v>
                </c:pt>
                <c:pt idx="7">
                  <c:v>0.68000000000000016</c:v>
                </c:pt>
              </c:numCache>
            </c:numRef>
          </c:xVal>
          <c:yVal>
            <c:numRef>
              <c:f>'Initial Sizing Estimation'!$B$26:$I$26</c:f>
              <c:numCache>
                <c:formatCode>General</c:formatCode>
                <c:ptCount val="8"/>
                <c:pt idx="0">
                  <c:v>72869.837187088124</c:v>
                </c:pt>
                <c:pt idx="1">
                  <c:v>75232.857033266409</c:v>
                </c:pt>
                <c:pt idx="2">
                  <c:v>77754.269018078136</c:v>
                </c:pt>
                <c:pt idx="3">
                  <c:v>80450.550815831026</c:v>
                </c:pt>
                <c:pt idx="4">
                  <c:v>83340.547787734613</c:v>
                </c:pt>
                <c:pt idx="5">
                  <c:v>86445.914095819564</c:v>
                </c:pt>
                <c:pt idx="6">
                  <c:v>89791.656252243163</c:v>
                </c:pt>
                <c:pt idx="7">
                  <c:v>93406.807973437215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AB4-4A06-8E0E-1D63DA0C5CD6}"/>
            </c:ext>
          </c:extLst>
        </c:ser>
        <c:ser>
          <c:idx val="6"/>
          <c:order val="6"/>
          <c:tx>
            <c:strRef>
              <c:f>'Initial Sizing Estimation'!$A$27</c:f>
              <c:strCache>
                <c:ptCount val="1"/>
                <c:pt idx="0">
                  <c:v>19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'Initial Sizing Estimation'!$L$27:$S$27</c:f>
              <c:numCache>
                <c:formatCode>General</c:formatCode>
                <c:ptCount val="8"/>
                <c:pt idx="0">
                  <c:v>0.62000000000000011</c:v>
                </c:pt>
                <c:pt idx="1">
                  <c:v>0.63000000000000012</c:v>
                </c:pt>
                <c:pt idx="2">
                  <c:v>0.64000000000000012</c:v>
                </c:pt>
                <c:pt idx="3">
                  <c:v>0.65000000000000013</c:v>
                </c:pt>
                <c:pt idx="4">
                  <c:v>0.66000000000000014</c:v>
                </c:pt>
                <c:pt idx="5">
                  <c:v>0.67000000000000015</c:v>
                </c:pt>
                <c:pt idx="6">
                  <c:v>0.68000000000000016</c:v>
                </c:pt>
                <c:pt idx="7">
                  <c:v>0.69000000000000017</c:v>
                </c:pt>
              </c:numCache>
            </c:numRef>
          </c:xVal>
          <c:yVal>
            <c:numRef>
              <c:f>'Initial Sizing Estimation'!$B$27:$I$27</c:f>
              <c:numCache>
                <c:formatCode>General</c:formatCode>
                <c:ptCount val="8"/>
                <c:pt idx="0">
                  <c:v>71518.501854968985</c:v>
                </c:pt>
                <c:pt idx="1">
                  <c:v>73793.32426813936</c:v>
                </c:pt>
                <c:pt idx="2">
                  <c:v>76217.61352227423</c:v>
                </c:pt>
                <c:pt idx="3">
                  <c:v>78806.60104888989</c:v>
                </c:pt>
                <c:pt idx="4">
                  <c:v>81577.660597693422</c:v>
                </c:pt>
                <c:pt idx="5">
                  <c:v>84550.698612659544</c:v>
                </c:pt>
                <c:pt idx="6">
                  <c:v>87748.633198539974</c:v>
                </c:pt>
                <c:pt idx="7">
                  <c:v>91197.986054909721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AB4-4A06-8E0E-1D63DA0C5CD6}"/>
            </c:ext>
          </c:extLst>
        </c:ser>
        <c:ser>
          <c:idx val="7"/>
          <c:order val="7"/>
          <c:tx>
            <c:strRef>
              <c:f>'Initial Sizing Estimation'!$A$28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'Initial Sizing Estimation'!$L$28:$S$28</c:f>
              <c:numCache>
                <c:formatCode>General</c:formatCode>
                <c:ptCount val="8"/>
                <c:pt idx="0">
                  <c:v>0.63000000000000012</c:v>
                </c:pt>
                <c:pt idx="1">
                  <c:v>0.64000000000000012</c:v>
                </c:pt>
                <c:pt idx="2">
                  <c:v>0.65000000000000013</c:v>
                </c:pt>
                <c:pt idx="3">
                  <c:v>0.66000000000000014</c:v>
                </c:pt>
                <c:pt idx="4">
                  <c:v>0.67000000000000015</c:v>
                </c:pt>
                <c:pt idx="5">
                  <c:v>0.68000000000000016</c:v>
                </c:pt>
                <c:pt idx="6">
                  <c:v>0.69000000000000017</c:v>
                </c:pt>
                <c:pt idx="7">
                  <c:v>0.70000000000000018</c:v>
                </c:pt>
              </c:numCache>
            </c:numRef>
          </c:xVal>
          <c:yVal>
            <c:numRef>
              <c:f>'Initial Sizing Estimation'!$B$28:$I$28</c:f>
              <c:numCache>
                <c:formatCode>General</c:formatCode>
                <c:ptCount val="8"/>
                <c:pt idx="0">
                  <c:v>70336.938207193336</c:v>
                </c:pt>
                <c:pt idx="1">
                  <c:v>72536.060804876892</c:v>
                </c:pt>
                <c:pt idx="2">
                  <c:v>74877.135126617999</c:v>
                </c:pt>
                <c:pt idx="3">
                  <c:v>77374.363876317628</c:v>
                </c:pt>
                <c:pt idx="4">
                  <c:v>80043.909826756702</c:v>
                </c:pt>
                <c:pt idx="5">
                  <c:v>82904.246030873284</c:v>
                </c:pt>
                <c:pt idx="6">
                  <c:v>85976.583903650113</c:v>
                </c:pt>
                <c:pt idx="7">
                  <c:v>89285.400152612201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AB4-4A06-8E0E-1D63DA0C5CD6}"/>
            </c:ext>
          </c:extLst>
        </c:ser>
        <c:ser>
          <c:idx val="8"/>
          <c:order val="8"/>
          <c:tx>
            <c:strRef>
              <c:f>'Initial Sizing Estimation'!$B$20</c:f>
              <c:strCache>
                <c:ptCount val="1"/>
                <c:pt idx="0">
                  <c:v>0.56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'Initial Sizing Estimation'!$L$21:$L$28</c:f>
              <c:numCache>
                <c:formatCode>General</c:formatCode>
                <c:ptCount val="8"/>
                <c:pt idx="0">
                  <c:v>0.56000000000000005</c:v>
                </c:pt>
                <c:pt idx="1">
                  <c:v>0.57000000000000006</c:v>
                </c:pt>
                <c:pt idx="2">
                  <c:v>0.58000000000000007</c:v>
                </c:pt>
                <c:pt idx="3">
                  <c:v>0.59000000000000008</c:v>
                </c:pt>
                <c:pt idx="4">
                  <c:v>0.60000000000000009</c:v>
                </c:pt>
                <c:pt idx="5">
                  <c:v>0.6100000000000001</c:v>
                </c:pt>
                <c:pt idx="6">
                  <c:v>0.62000000000000011</c:v>
                </c:pt>
                <c:pt idx="7">
                  <c:v>0.63000000000000012</c:v>
                </c:pt>
              </c:numCache>
            </c:numRef>
          </c:xVal>
          <c:yVal>
            <c:numRef>
              <c:f>'Initial Sizing Estimation'!$B$21:$B$28</c:f>
              <c:numCache>
                <c:formatCode>General</c:formatCode>
                <c:ptCount val="8"/>
                <c:pt idx="0">
                  <c:v>84167.866100760613</c:v>
                </c:pt>
                <c:pt idx="1">
                  <c:v>80998.1753791581</c:v>
                </c:pt>
                <c:pt idx="2">
                  <c:v>78408.277911236772</c:v>
                </c:pt>
                <c:pt idx="3">
                  <c:v>76252.545305798121</c:v>
                </c:pt>
                <c:pt idx="4">
                  <c:v>74430.327181257628</c:v>
                </c:pt>
                <c:pt idx="5">
                  <c:v>72869.837187088124</c:v>
                </c:pt>
                <c:pt idx="6">
                  <c:v>71518.501854968985</c:v>
                </c:pt>
                <c:pt idx="7">
                  <c:v>70336.938207193336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AB4-4A06-8E0E-1D63DA0C5CD6}"/>
            </c:ext>
          </c:extLst>
        </c:ser>
        <c:ser>
          <c:idx val="9"/>
          <c:order val="9"/>
          <c:tx>
            <c:strRef>
              <c:f>'Initial Sizing Estimation'!$C$20</c:f>
              <c:strCache>
                <c:ptCount val="1"/>
                <c:pt idx="0">
                  <c:v>0.57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'Initial Sizing Estimation'!$M$21:$M$28</c:f>
              <c:numCache>
                <c:formatCode>General</c:formatCode>
                <c:ptCount val="8"/>
                <c:pt idx="0">
                  <c:v>0.57000000000000006</c:v>
                </c:pt>
                <c:pt idx="1">
                  <c:v>0.58000000000000007</c:v>
                </c:pt>
                <c:pt idx="2">
                  <c:v>0.59000000000000008</c:v>
                </c:pt>
                <c:pt idx="3">
                  <c:v>0.60000000000000009</c:v>
                </c:pt>
                <c:pt idx="4">
                  <c:v>0.6100000000000001</c:v>
                </c:pt>
                <c:pt idx="5">
                  <c:v>0.62000000000000011</c:v>
                </c:pt>
                <c:pt idx="6">
                  <c:v>0.63000000000000012</c:v>
                </c:pt>
                <c:pt idx="7">
                  <c:v>0.64000000000000012</c:v>
                </c:pt>
              </c:numCache>
            </c:numRef>
          </c:xVal>
          <c:yVal>
            <c:numRef>
              <c:f>'Initial Sizing Estimation'!$C$21:$C$28</c:f>
              <c:numCache>
                <c:formatCode>General</c:formatCode>
                <c:ptCount val="8"/>
                <c:pt idx="0">
                  <c:v>87336.364118364843</c:v>
                </c:pt>
                <c:pt idx="1">
                  <c:v>83928.367013041148</c:v>
                </c:pt>
                <c:pt idx="2">
                  <c:v>81150.908509139335</c:v>
                </c:pt>
                <c:pt idx="3">
                  <c:v>78843.946870821965</c:v>
                </c:pt>
                <c:pt idx="4">
                  <c:v>76897.350881909573</c:v>
                </c:pt>
                <c:pt idx="5">
                  <c:v>75232.857033266409</c:v>
                </c:pt>
                <c:pt idx="6">
                  <c:v>73793.32426813936</c:v>
                </c:pt>
                <c:pt idx="7">
                  <c:v>72536.060804876892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AB4-4A06-8E0E-1D63DA0C5CD6}"/>
            </c:ext>
          </c:extLst>
        </c:ser>
        <c:ser>
          <c:idx val="10"/>
          <c:order val="10"/>
          <c:tx>
            <c:strRef>
              <c:f>'Initial Sizing Estimation'!$D$20</c:f>
              <c:strCache>
                <c:ptCount val="1"/>
                <c:pt idx="0">
                  <c:v>0.58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'Initial Sizing Estimation'!$N$21:$N$28</c:f>
              <c:numCache>
                <c:formatCode>General</c:formatCode>
                <c:ptCount val="8"/>
                <c:pt idx="0">
                  <c:v>0.58000000000000007</c:v>
                </c:pt>
                <c:pt idx="1">
                  <c:v>0.59000000000000008</c:v>
                </c:pt>
                <c:pt idx="2">
                  <c:v>0.60000000000000009</c:v>
                </c:pt>
                <c:pt idx="3">
                  <c:v>0.6100000000000001</c:v>
                </c:pt>
                <c:pt idx="4">
                  <c:v>0.62000000000000011</c:v>
                </c:pt>
                <c:pt idx="5">
                  <c:v>0.63000000000000012</c:v>
                </c:pt>
                <c:pt idx="6">
                  <c:v>0.64000000000000012</c:v>
                </c:pt>
                <c:pt idx="7">
                  <c:v>0.65000000000000013</c:v>
                </c:pt>
              </c:numCache>
            </c:numRef>
          </c:xVal>
          <c:yVal>
            <c:numRef>
              <c:f>'Initial Sizing Estimation'!$D$21:$D$28</c:f>
              <c:numCache>
                <c:formatCode>General</c:formatCode>
                <c:ptCount val="8"/>
                <c:pt idx="0">
                  <c:v>90752.749988063311</c:v>
                </c:pt>
                <c:pt idx="1">
                  <c:v>87078.521366578716</c:v>
                </c:pt>
                <c:pt idx="2">
                  <c:v>84092.361766032773</c:v>
                </c:pt>
                <c:pt idx="3">
                  <c:v>81617.679627846839</c:v>
                </c:pt>
                <c:pt idx="4">
                  <c:v>79533.522068716557</c:v>
                </c:pt>
                <c:pt idx="5">
                  <c:v>77754.269018078136</c:v>
                </c:pt>
                <c:pt idx="6">
                  <c:v>76217.61352227423</c:v>
                </c:pt>
                <c:pt idx="7">
                  <c:v>74877.135126617999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AB4-4A06-8E0E-1D63DA0C5CD6}"/>
            </c:ext>
          </c:extLst>
        </c:ser>
        <c:ser>
          <c:idx val="11"/>
          <c:order val="11"/>
          <c:tx>
            <c:strRef>
              <c:f>'Initial Sizing Estimation'!$E$20</c:f>
              <c:strCache>
                <c:ptCount val="1"/>
                <c:pt idx="0">
                  <c:v>0.59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'Initial Sizing Estimation'!$O$21:$O$28</c:f>
              <c:numCache>
                <c:formatCode>General</c:formatCode>
                <c:ptCount val="8"/>
                <c:pt idx="0">
                  <c:v>0.59000000000000008</c:v>
                </c:pt>
                <c:pt idx="1">
                  <c:v>0.60000000000000009</c:v>
                </c:pt>
                <c:pt idx="2">
                  <c:v>0.6100000000000001</c:v>
                </c:pt>
                <c:pt idx="3">
                  <c:v>0.62000000000000011</c:v>
                </c:pt>
                <c:pt idx="4">
                  <c:v>0.63000000000000012</c:v>
                </c:pt>
                <c:pt idx="5">
                  <c:v>0.64000000000000012</c:v>
                </c:pt>
                <c:pt idx="6">
                  <c:v>0.65000000000000013</c:v>
                </c:pt>
                <c:pt idx="7">
                  <c:v>0.66000000000000014</c:v>
                </c:pt>
              </c:numCache>
            </c:numRef>
          </c:xVal>
          <c:yVal>
            <c:numRef>
              <c:f>'Initial Sizing Estimation'!$E$21:$E$28</c:f>
              <c:numCache>
                <c:formatCode>General</c:formatCode>
                <c:ptCount val="8"/>
                <c:pt idx="0">
                  <c:v>94447.298284736913</c:v>
                </c:pt>
                <c:pt idx="1">
                  <c:v>90474.372477308512</c:v>
                </c:pt>
                <c:pt idx="2">
                  <c:v>87255.070809316327</c:v>
                </c:pt>
                <c:pt idx="3">
                  <c:v>84593.688492465793</c:v>
                </c:pt>
                <c:pt idx="4">
                  <c:v>82356.854260901688</c:v>
                </c:pt>
                <c:pt idx="5">
                  <c:v>80450.550815831026</c:v>
                </c:pt>
                <c:pt idx="6">
                  <c:v>78806.60104888989</c:v>
                </c:pt>
                <c:pt idx="7">
                  <c:v>77374.363876317628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AB4-4A06-8E0E-1D63DA0C5CD6}"/>
            </c:ext>
          </c:extLst>
        </c:ser>
        <c:ser>
          <c:idx val="12"/>
          <c:order val="12"/>
          <c:tx>
            <c:strRef>
              <c:f>'Initial Sizing Estimation'!$F$20</c:f>
              <c:strCache>
                <c:ptCount val="1"/>
                <c:pt idx="0">
                  <c:v>0.6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'Initial Sizing Estimation'!$P$21:$P$28</c:f>
              <c:numCache>
                <c:formatCode>General</c:formatCode>
                <c:ptCount val="8"/>
                <c:pt idx="0">
                  <c:v>0.60000000000000009</c:v>
                </c:pt>
                <c:pt idx="1">
                  <c:v>0.6100000000000001</c:v>
                </c:pt>
                <c:pt idx="2">
                  <c:v>0.62000000000000011</c:v>
                </c:pt>
                <c:pt idx="3">
                  <c:v>0.63000000000000012</c:v>
                </c:pt>
                <c:pt idx="4">
                  <c:v>0.64000000000000012</c:v>
                </c:pt>
                <c:pt idx="5">
                  <c:v>0.65000000000000013</c:v>
                </c:pt>
                <c:pt idx="6">
                  <c:v>0.66000000000000014</c:v>
                </c:pt>
                <c:pt idx="7">
                  <c:v>0.67000000000000015</c:v>
                </c:pt>
              </c:numCache>
            </c:numRef>
          </c:xVal>
          <c:yVal>
            <c:numRef>
              <c:f>'Initial Sizing Estimation'!$F$21:$F$28</c:f>
              <c:numCache>
                <c:formatCode>General</c:formatCode>
                <c:ptCount val="8"/>
                <c:pt idx="0">
                  <c:v>98455.422714417276</c:v>
                </c:pt>
                <c:pt idx="1">
                  <c:v>94145.831542014625</c:v>
                </c:pt>
                <c:pt idx="2">
                  <c:v>90664.975488709548</c:v>
                </c:pt>
                <c:pt idx="3">
                  <c:v>87794.937453749415</c:v>
                </c:pt>
                <c:pt idx="4">
                  <c:v>85388.012940813132</c:v>
                </c:pt>
                <c:pt idx="5">
                  <c:v>83340.547787734613</c:v>
                </c:pt>
                <c:pt idx="6">
                  <c:v>81577.660597693422</c:v>
                </c:pt>
                <c:pt idx="7">
                  <c:v>80043.909826756702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AB4-4A06-8E0E-1D63DA0C5CD6}"/>
            </c:ext>
          </c:extLst>
        </c:ser>
        <c:ser>
          <c:idx val="13"/>
          <c:order val="13"/>
          <c:tx>
            <c:strRef>
              <c:f>'Initial Sizing Estimation'!$G$20</c:f>
              <c:strCache>
                <c:ptCount val="1"/>
                <c:pt idx="0">
                  <c:v>0.61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'Initial Sizing Estimation'!$Q$21:$Q$28</c:f>
              <c:numCache>
                <c:formatCode>General</c:formatCode>
                <c:ptCount val="8"/>
                <c:pt idx="0">
                  <c:v>0.6100000000000001</c:v>
                </c:pt>
                <c:pt idx="1">
                  <c:v>0.62000000000000011</c:v>
                </c:pt>
                <c:pt idx="2">
                  <c:v>0.63000000000000012</c:v>
                </c:pt>
                <c:pt idx="3">
                  <c:v>0.64000000000000012</c:v>
                </c:pt>
                <c:pt idx="4">
                  <c:v>0.65000000000000013</c:v>
                </c:pt>
                <c:pt idx="5">
                  <c:v>0.66000000000000014</c:v>
                </c:pt>
                <c:pt idx="6">
                  <c:v>0.67000000000000015</c:v>
                </c:pt>
                <c:pt idx="7">
                  <c:v>0.68000000000000016</c:v>
                </c:pt>
              </c:numCache>
            </c:numRef>
          </c:xVal>
          <c:yVal>
            <c:numRef>
              <c:f>'Initial Sizing Estimation'!$G$21:$G$28</c:f>
              <c:numCache>
                <c:formatCode>General</c:formatCode>
                <c:ptCount val="8"/>
                <c:pt idx="0">
                  <c:v>102818.8149060422</c:v>
                </c:pt>
                <c:pt idx="1">
                  <c:v>98127.870312720683</c:v>
                </c:pt>
                <c:pt idx="2">
                  <c:v>94352.235451877408</c:v>
                </c:pt>
                <c:pt idx="3">
                  <c:v>91248.003290682609</c:v>
                </c:pt>
                <c:pt idx="4">
                  <c:v>88650.822232181774</c:v>
                </c:pt>
                <c:pt idx="5">
                  <c:v>86445.914095819564</c:v>
                </c:pt>
                <c:pt idx="6">
                  <c:v>84550.698612659544</c:v>
                </c:pt>
                <c:pt idx="7">
                  <c:v>82904.246030873284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AB4-4A06-8E0E-1D63DA0C5CD6}"/>
            </c:ext>
          </c:extLst>
        </c:ser>
        <c:ser>
          <c:idx val="14"/>
          <c:order val="14"/>
          <c:tx>
            <c:strRef>
              <c:f>'Initial Sizing Estimation'!$H$20</c:f>
              <c:strCache>
                <c:ptCount val="1"/>
                <c:pt idx="0">
                  <c:v>0.62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'Initial Sizing Estimation'!$R$21:$R$28</c:f>
              <c:numCache>
                <c:formatCode>General</c:formatCode>
                <c:ptCount val="8"/>
                <c:pt idx="0">
                  <c:v>0.62000000000000011</c:v>
                </c:pt>
                <c:pt idx="1">
                  <c:v>0.63000000000000012</c:v>
                </c:pt>
                <c:pt idx="2">
                  <c:v>0.64000000000000012</c:v>
                </c:pt>
                <c:pt idx="3">
                  <c:v>0.65000000000000013</c:v>
                </c:pt>
                <c:pt idx="4">
                  <c:v>0.66000000000000014</c:v>
                </c:pt>
                <c:pt idx="5">
                  <c:v>0.67000000000000015</c:v>
                </c:pt>
                <c:pt idx="6">
                  <c:v>0.68000000000000016</c:v>
                </c:pt>
                <c:pt idx="7">
                  <c:v>0.69000000000000017</c:v>
                </c:pt>
              </c:numCache>
            </c:numRef>
          </c:xVal>
          <c:yVal>
            <c:numRef>
              <c:f>'Initial Sizing Estimation'!$H$21:$H$28</c:f>
              <c:numCache>
                <c:formatCode>General</c:formatCode>
                <c:ptCount val="8"/>
                <c:pt idx="0">
                  <c:v>107586.90006288741</c:v>
                </c:pt>
                <c:pt idx="1">
                  <c:v>102461.63858113377</c:v>
                </c:pt>
                <c:pt idx="2">
                  <c:v>98352.124597217524</c:v>
                </c:pt>
                <c:pt idx="3">
                  <c:v>94983.815133736382</c:v>
                </c:pt>
                <c:pt idx="4">
                  <c:v>92172.892359414749</c:v>
                </c:pt>
                <c:pt idx="5">
                  <c:v>89791.656252243163</c:v>
                </c:pt>
                <c:pt idx="6">
                  <c:v>87748.633198539974</c:v>
                </c:pt>
                <c:pt idx="7">
                  <c:v>85976.583903650113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AB4-4A06-8E0E-1D63DA0C5CD6}"/>
            </c:ext>
          </c:extLst>
        </c:ser>
        <c:ser>
          <c:idx val="15"/>
          <c:order val="15"/>
          <c:tx>
            <c:strRef>
              <c:f>'Initial Sizing Estimation'!$I$20</c:f>
              <c:strCache>
                <c:ptCount val="1"/>
                <c:pt idx="0">
                  <c:v>0.63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'Initial Sizing Estimation'!$S$21:$S$28</c:f>
              <c:numCache>
                <c:formatCode>General</c:formatCode>
                <c:ptCount val="8"/>
                <c:pt idx="0">
                  <c:v>0.63000000000000012</c:v>
                </c:pt>
                <c:pt idx="1">
                  <c:v>0.64000000000000012</c:v>
                </c:pt>
                <c:pt idx="2">
                  <c:v>0.65000000000000013</c:v>
                </c:pt>
                <c:pt idx="3">
                  <c:v>0.66000000000000014</c:v>
                </c:pt>
                <c:pt idx="4">
                  <c:v>0.67000000000000015</c:v>
                </c:pt>
                <c:pt idx="5">
                  <c:v>0.68000000000000016</c:v>
                </c:pt>
                <c:pt idx="6">
                  <c:v>0.69000000000000017</c:v>
                </c:pt>
                <c:pt idx="7">
                  <c:v>0.70000000000000018</c:v>
                </c:pt>
              </c:numCache>
            </c:numRef>
          </c:xVal>
          <c:yVal>
            <c:numRef>
              <c:f>'Initial Sizing Estimation'!$I$21:$I$28</c:f>
              <c:numCache>
                <c:formatCode>General</c:formatCode>
                <c:ptCount val="8"/>
                <c:pt idx="0">
                  <c:v>112818.71733312088</c:v>
                </c:pt>
                <c:pt idx="1">
                  <c:v>107195.89146414303</c:v>
                </c:pt>
                <c:pt idx="2">
                  <c:v>102706.16311064885</c:v>
                </c:pt>
                <c:pt idx="3">
                  <c:v>99038.583453501255</c:v>
                </c:pt>
                <c:pt idx="4">
                  <c:v>95986.402867821278</c:v>
                </c:pt>
                <c:pt idx="5">
                  <c:v>93406.807973437215</c:v>
                </c:pt>
                <c:pt idx="6">
                  <c:v>91197.986054909721</c:v>
                </c:pt>
                <c:pt idx="7">
                  <c:v>89285.400152612201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AB4-4A06-8E0E-1D63DA0C5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01216"/>
        <c:axId val="463937296"/>
      </c:scatterChart>
      <c:valAx>
        <c:axId val="1687801216"/>
        <c:scaling>
          <c:orientation val="minMax"/>
          <c:max val="0.71000000000000008"/>
          <c:min val="0.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37296"/>
        <c:crosses val="autoZero"/>
        <c:crossBetween val="midCat"/>
      </c:valAx>
      <c:valAx>
        <c:axId val="463937296"/>
        <c:scaling>
          <c:orientation val="minMax"/>
          <c:max val="122000"/>
          <c:min val="6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0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587432</xdr:colOff>
      <xdr:row>5</xdr:row>
      <xdr:rowOff>187146</xdr:rowOff>
    </xdr:from>
    <xdr:to>
      <xdr:col>14</xdr:col>
      <xdr:colOff>586277</xdr:colOff>
      <xdr:row>15</xdr:row>
      <xdr:rowOff>66914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B834B-3763-294D-DCA4-3F8C7844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443" y="1300180"/>
          <a:ext cx="3131036" cy="1906060"/>
        </a:xfrm>
        <a:prstGeom prst="rect">
          <a:avLst/>
        </a:prstGeom>
      </xdr:spPr>
    </xdr:pic>
    <xdr:clientData/>
  </xdr:twoCellAnchor>
  <xdr:twoCellAnchor>
    <xdr:from>
      <xdr:col>0</xdr:col>
      <xdr:colOff>107022</xdr:colOff>
      <xdr:row>16</xdr:row>
      <xdr:rowOff>85619</xdr:rowOff>
    </xdr:from>
    <xdr:to>
      <xdr:col>5</xdr:col>
      <xdr:colOff>563562</xdr:colOff>
      <xdr:row>17</xdr:row>
      <xdr:rowOff>119063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93B569-E27E-6413-F6C3-EE967B64B521}"/>
            </a:ext>
          </a:extLst>
        </xdr:cNvPr>
        <xdr:cNvSpPr txBox="1"/>
      </xdr:nvSpPr>
      <xdr:spPr>
        <a:xfrm>
          <a:off x="107022" y="3427307"/>
          <a:ext cx="5909603" cy="2318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For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a carpet plot, hold a specific SFC, then vary L/D and EWF. Below is the result for W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endParaRPr lang="en-US" sz="1200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780142</xdr:colOff>
      <xdr:row>17</xdr:row>
      <xdr:rowOff>0</xdr:rowOff>
    </xdr:from>
    <xdr:to>
      <xdr:col>12</xdr:col>
      <xdr:colOff>408213</xdr:colOff>
      <xdr:row>18</xdr:row>
      <xdr:rowOff>81643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925C17-5825-48AF-A362-BD5C37AE0A8B}"/>
            </a:ext>
          </a:extLst>
        </xdr:cNvPr>
        <xdr:cNvSpPr txBox="1"/>
      </xdr:nvSpPr>
      <xdr:spPr>
        <a:xfrm>
          <a:off x="8935356" y="3556000"/>
          <a:ext cx="2331357" cy="2812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Helper Grid for Carpet Plots:</a:t>
          </a:r>
          <a:endParaRPr lang="en-US" sz="1200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73136</xdr:colOff>
      <xdr:row>5</xdr:row>
      <xdr:rowOff>16125</xdr:rowOff>
    </xdr:from>
    <xdr:to>
      <xdr:col>28</xdr:col>
      <xdr:colOff>56696</xdr:colOff>
      <xdr:row>23</xdr:row>
      <xdr:rowOff>45355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1CA2BD-33BA-A1CA-6B02-D6A432838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DFDF-9D90-4FE4-9818-C34B87B758FF}">
  <dimension ref="A1:S29"/>
  <sheetViews>
    <sheetView tabSelected="1" zoomScale="53" zoomScaleNormal="145" workbookViewId="0">
      <selection activeCell="A22" sqref="A22"/>
    </sheetView>
  </sheetViews>
  <sheetFormatPr defaultRowHeight="15.5" x14ac:dyDescent="0.35"/>
  <cols>
    <col min="1" max="1" width="17.54296875" style="1" customWidth="1"/>
    <col min="2" max="2" width="12.54296875" style="1" customWidth="1"/>
    <col min="3" max="3" width="24.54296875" style="1" customWidth="1"/>
    <col min="4" max="4" width="8.7265625" style="1"/>
    <col min="5" max="5" width="14.81640625" style="1" customWidth="1"/>
    <col min="6" max="7" width="8.7265625" style="1"/>
    <col min="8" max="8" width="9.1796875" style="1" bestFit="1" customWidth="1"/>
    <col min="9" max="9" width="11.90625" style="1" customWidth="1"/>
    <col min="10" max="10" width="11.1796875" style="1" customWidth="1"/>
    <col min="11" max="11" width="14.08984375" style="1" bestFit="1" customWidth="1"/>
    <col min="12" max="12" width="13.36328125" style="1" bestFit="1" customWidth="1"/>
    <col min="13" max="14" width="8.7265625" style="1"/>
    <col min="15" max="15" width="9.1796875" style="1" bestFit="1" customWidth="1"/>
    <col min="16" max="16384" width="8.7265625" style="1"/>
  </cols>
  <sheetData>
    <row r="1" spans="1:18" ht="18" thickBot="1" x14ac:dyDescent="0.5">
      <c r="A1" s="40" t="s">
        <v>0</v>
      </c>
      <c r="B1" s="41"/>
      <c r="C1" s="42" t="s">
        <v>9</v>
      </c>
      <c r="D1" s="43"/>
      <c r="E1" s="43"/>
      <c r="F1" s="44" t="s">
        <v>4</v>
      </c>
      <c r="G1" s="45"/>
      <c r="H1" s="46"/>
      <c r="L1" s="8" t="s">
        <v>10</v>
      </c>
      <c r="M1" s="9" t="s">
        <v>11</v>
      </c>
      <c r="N1" s="10" t="s">
        <v>12</v>
      </c>
      <c r="O1" s="1" t="s">
        <v>13</v>
      </c>
      <c r="Q1" s="7" t="s">
        <v>17</v>
      </c>
    </row>
    <row r="2" spans="1:18" ht="17.5" x14ac:dyDescent="0.45">
      <c r="A2" s="3" t="s">
        <v>8</v>
      </c>
      <c r="B2" s="4">
        <v>23200</v>
      </c>
      <c r="C2" s="2" t="s">
        <v>22</v>
      </c>
      <c r="D2" s="2" t="s">
        <v>1</v>
      </c>
      <c r="E2" s="2" t="s">
        <v>3</v>
      </c>
      <c r="F2" s="14" t="s">
        <v>7</v>
      </c>
      <c r="G2" s="15" t="s">
        <v>6</v>
      </c>
      <c r="H2" s="16" t="s">
        <v>5</v>
      </c>
      <c r="I2" s="23" t="s">
        <v>25</v>
      </c>
      <c r="J2" s="24" t="s">
        <v>24</v>
      </c>
      <c r="L2" s="1">
        <v>-1</v>
      </c>
      <c r="M2" s="1">
        <v>-1</v>
      </c>
      <c r="N2" s="1">
        <v>1</v>
      </c>
      <c r="O2" s="1">
        <f>$B$2</f>
        <v>23200</v>
      </c>
      <c r="P2" s="1" t="s">
        <v>14</v>
      </c>
      <c r="Q2" s="8" cm="1">
        <f t="array" ref="Q2:Q4">MMULT(MINVERSE(L2:N4),O2:O4)</f>
        <v>4358.4686620235771</v>
      </c>
      <c r="R2" s="13" t="s">
        <v>7</v>
      </c>
    </row>
    <row r="3" spans="1:18" ht="17.5" x14ac:dyDescent="0.45">
      <c r="A3" s="3" t="s">
        <v>18</v>
      </c>
      <c r="B3" s="4">
        <v>1700</v>
      </c>
      <c r="C3" s="2">
        <v>0.1</v>
      </c>
      <c r="D3" s="2">
        <v>7</v>
      </c>
      <c r="E3" s="2">
        <v>0.15</v>
      </c>
      <c r="F3" s="17">
        <f>H3*E3</f>
        <v>4358.4686620235798</v>
      </c>
      <c r="G3" s="1">
        <f>H3-H3/J3</f>
        <v>1497.9890848002906</v>
      </c>
      <c r="H3" s="18">
        <f>$B$2/(1-I3)</f>
        <v>29056.457746823868</v>
      </c>
      <c r="I3" s="1">
        <f>E3+1-1/J3</f>
        <v>0.20155442889331654</v>
      </c>
      <c r="J3" s="1">
        <f>EXP(($B$3*C3)/(D3*$B$4))</f>
        <v>1.0543567606448527</v>
      </c>
      <c r="L3" s="1">
        <v>0</v>
      </c>
      <c r="M3" s="1">
        <f>-EXP(($B$3*C3)/(D3*$B$4))</f>
        <v>-1.0543567606448527</v>
      </c>
      <c r="N3" s="1">
        <f>(EXP(($B$3*C3)/(D3*$B$4))-1)</f>
        <v>5.4356760644852731E-2</v>
      </c>
      <c r="O3" s="1">
        <v>0</v>
      </c>
      <c r="P3" s="1" t="s">
        <v>15</v>
      </c>
      <c r="Q3" s="12">
        <v>1497.9890848002906</v>
      </c>
      <c r="R3" s="13" t="s">
        <v>6</v>
      </c>
    </row>
    <row r="4" spans="1:18" ht="17.5" x14ac:dyDescent="0.45">
      <c r="A4" s="3" t="s">
        <v>19</v>
      </c>
      <c r="B4" s="4">
        <f>0.8*660*0.8689762</f>
        <v>458.81943359999997</v>
      </c>
      <c r="C4" s="2">
        <f>C3+0.1</f>
        <v>0.2</v>
      </c>
      <c r="D4" s="2">
        <v>8.4444444444444393</v>
      </c>
      <c r="E4" s="2">
        <v>0.21666666666666667</v>
      </c>
      <c r="F4" s="17">
        <f t="shared" ref="F4:F12" si="0">H4*E4</f>
        <v>7187.9382353492929</v>
      </c>
      <c r="G4" s="1">
        <f t="shared" ref="G4:G12" si="1">H4-H4/J4</f>
        <v>2787.1613124166688</v>
      </c>
      <c r="H4" s="18">
        <f t="shared" ref="H4:H15" si="2">$B$2/(1-I4)</f>
        <v>33175.099547765967</v>
      </c>
      <c r="I4" s="1">
        <f t="shared" ref="I4:I15" si="3">E4+1-1/J4</f>
        <v>0.30068031999131395</v>
      </c>
      <c r="J4" s="1">
        <f t="shared" ref="J4:J15" si="4">EXP(($B$3*C4)/(D4*$B$4))</f>
        <v>1.0917193292559235</v>
      </c>
      <c r="L4" s="1">
        <v>-1</v>
      </c>
      <c r="M4" s="1">
        <v>0</v>
      </c>
      <c r="N4" s="1">
        <f>E3</f>
        <v>0.15</v>
      </c>
      <c r="O4" s="1">
        <v>0</v>
      </c>
      <c r="P4" s="1" t="s">
        <v>16</v>
      </c>
      <c r="Q4" s="11">
        <v>29056.457746823871</v>
      </c>
      <c r="R4" s="13" t="s">
        <v>5</v>
      </c>
    </row>
    <row r="5" spans="1:18" ht="17.5" x14ac:dyDescent="0.45">
      <c r="A5" s="3" t="s">
        <v>20</v>
      </c>
      <c r="B5" s="4">
        <f>52.13857</f>
        <v>52.138570000000001</v>
      </c>
      <c r="C5" s="2">
        <f t="shared" ref="C5:C12" si="5">C4+0.1</f>
        <v>0.30000000000000004</v>
      </c>
      <c r="D5" s="2">
        <v>9.8888888888888804</v>
      </c>
      <c r="E5" s="2">
        <v>0.28333333333333338</v>
      </c>
      <c r="F5" s="17">
        <f t="shared" si="0"/>
        <v>10769.776735947358</v>
      </c>
      <c r="G5" s="1">
        <f t="shared" si="1"/>
        <v>4041.199979160956</v>
      </c>
      <c r="H5" s="18">
        <f t="shared" si="2"/>
        <v>38010.976715108314</v>
      </c>
      <c r="I5" s="1">
        <f t="shared" si="3"/>
        <v>0.38964999047818094</v>
      </c>
      <c r="J5" s="1">
        <f t="shared" si="4"/>
        <v>1.1189645728487962</v>
      </c>
      <c r="M5" s="1" t="s">
        <v>23</v>
      </c>
    </row>
    <row r="6" spans="1:18" ht="18" thickBot="1" x14ac:dyDescent="0.5">
      <c r="A6" s="5" t="s">
        <v>21</v>
      </c>
      <c r="B6" s="6">
        <f>5700</f>
        <v>5700</v>
      </c>
      <c r="C6" s="2">
        <f t="shared" si="5"/>
        <v>0.4</v>
      </c>
      <c r="D6" s="2">
        <v>11.33333333333332</v>
      </c>
      <c r="E6" s="2">
        <v>0.35000000000000009</v>
      </c>
      <c r="F6" s="17">
        <f t="shared" si="0"/>
        <v>15395.722930259413</v>
      </c>
      <c r="G6" s="1">
        <f t="shared" si="1"/>
        <v>5392.0568704817561</v>
      </c>
      <c r="H6" s="18">
        <f t="shared" si="2"/>
        <v>43987.779800741169</v>
      </c>
      <c r="I6" s="1">
        <f t="shared" si="3"/>
        <v>0.47258079164047528</v>
      </c>
      <c r="J6" s="1">
        <f t="shared" si="4"/>
        <v>1.1397060726191071</v>
      </c>
    </row>
    <row r="7" spans="1:18" x14ac:dyDescent="0.35">
      <c r="C7" s="2">
        <f t="shared" si="5"/>
        <v>0.5</v>
      </c>
      <c r="D7" s="2">
        <v>12.777777777777761</v>
      </c>
      <c r="E7" s="2">
        <v>0.41666666666666674</v>
      </c>
      <c r="F7" s="17">
        <f t="shared" si="0"/>
        <v>21559.624471989267</v>
      </c>
      <c r="G7" s="1">
        <f t="shared" si="1"/>
        <v>6983.4742607849621</v>
      </c>
      <c r="H7" s="18">
        <f t="shared" si="2"/>
        <v>51743.098732774233</v>
      </c>
      <c r="I7" s="1">
        <f t="shared" si="3"/>
        <v>0.55163102774699013</v>
      </c>
      <c r="J7" s="1">
        <f t="shared" si="4"/>
        <v>1.1560217348372805</v>
      </c>
    </row>
    <row r="8" spans="1:18" x14ac:dyDescent="0.35">
      <c r="C8" s="2">
        <f t="shared" si="5"/>
        <v>0.6</v>
      </c>
      <c r="D8" s="2">
        <v>14.2222222222222</v>
      </c>
      <c r="E8" s="2">
        <v>0.4833333333333335</v>
      </c>
      <c r="F8" s="17">
        <f t="shared" si="0"/>
        <v>30146.659447273298</v>
      </c>
      <c r="G8" s="1">
        <f t="shared" si="1"/>
        <v>9025.739409154201</v>
      </c>
      <c r="H8" s="18">
        <f t="shared" si="2"/>
        <v>62372.398856427491</v>
      </c>
      <c r="I8" s="1">
        <f t="shared" si="3"/>
        <v>0.62804060088496605</v>
      </c>
      <c r="J8" s="1">
        <f t="shared" si="4"/>
        <v>1.1691903392390492</v>
      </c>
    </row>
    <row r="9" spans="1:18" x14ac:dyDescent="0.35">
      <c r="C9" s="2">
        <f t="shared" si="5"/>
        <v>0.7</v>
      </c>
      <c r="D9" s="2">
        <v>15.666666666666639</v>
      </c>
      <c r="E9" s="2">
        <v>0.55000000000000016</v>
      </c>
      <c r="F9" s="17">
        <f t="shared" si="0"/>
        <v>42901.183132784747</v>
      </c>
      <c r="G9" s="1">
        <f t="shared" si="1"/>
        <v>11900.968017732943</v>
      </c>
      <c r="H9" s="18">
        <f t="shared" si="2"/>
        <v>78002.151150517704</v>
      </c>
      <c r="I9" s="1">
        <f t="shared" si="3"/>
        <v>0.70257230527871128</v>
      </c>
      <c r="J9" s="1">
        <f t="shared" si="4"/>
        <v>1.1800416793422011</v>
      </c>
    </row>
    <row r="10" spans="1:18" x14ac:dyDescent="0.35">
      <c r="C10" s="2">
        <f t="shared" si="5"/>
        <v>0.79999999999999993</v>
      </c>
      <c r="D10" s="2">
        <v>17.111111111111079</v>
      </c>
      <c r="E10" s="2">
        <v>0.61666666666666681</v>
      </c>
      <c r="F10" s="17">
        <f t="shared" si="0"/>
        <v>63789.617613025293</v>
      </c>
      <c r="G10" s="1">
        <f t="shared" si="1"/>
        <v>16453.00554323192</v>
      </c>
      <c r="H10" s="18">
        <f t="shared" si="2"/>
        <v>103442.62315625721</v>
      </c>
      <c r="I10" s="1">
        <f t="shared" si="3"/>
        <v>0.77572107809993562</v>
      </c>
      <c r="J10" s="1">
        <f t="shared" si="4"/>
        <v>1.1891375775029083</v>
      </c>
    </row>
    <row r="11" spans="1:18" x14ac:dyDescent="0.35">
      <c r="C11" s="2">
        <f t="shared" si="5"/>
        <v>0.89999999999999991</v>
      </c>
      <c r="D11" s="2">
        <v>18.555555555555522</v>
      </c>
      <c r="E11" s="2">
        <v>0.68333333333333357</v>
      </c>
      <c r="F11" s="17">
        <f t="shared" si="0"/>
        <v>104176.27781596201</v>
      </c>
      <c r="G11" s="1">
        <f t="shared" si="1"/>
        <v>25076.811670811614</v>
      </c>
      <c r="H11" s="18">
        <f t="shared" si="2"/>
        <v>152453.08948677362</v>
      </c>
      <c r="I11" s="1">
        <f t="shared" si="3"/>
        <v>0.84782204100879988</v>
      </c>
      <c r="J11" s="1">
        <f t="shared" si="4"/>
        <v>1.1968719144630959</v>
      </c>
    </row>
    <row r="12" spans="1:18" x14ac:dyDescent="0.35">
      <c r="C12" s="2">
        <f t="shared" si="5"/>
        <v>0.99999999999999989</v>
      </c>
      <c r="D12" s="2">
        <v>19.999999999999957</v>
      </c>
      <c r="E12" s="2">
        <v>0.75</v>
      </c>
      <c r="F12" s="17">
        <f t="shared" si="0"/>
        <v>215107.37832860911</v>
      </c>
      <c r="G12" s="1">
        <f t="shared" si="1"/>
        <v>48502.459442869702</v>
      </c>
      <c r="H12" s="18">
        <f t="shared" si="2"/>
        <v>286809.83777147881</v>
      </c>
      <c r="I12" s="1">
        <f t="shared" si="3"/>
        <v>0.91911016658192513</v>
      </c>
      <c r="J12" s="1">
        <f t="shared" si="4"/>
        <v>1.2035289875749806</v>
      </c>
    </row>
    <row r="13" spans="1:18" x14ac:dyDescent="0.35">
      <c r="C13" s="2"/>
      <c r="F13" s="17"/>
      <c r="H13" s="18"/>
    </row>
    <row r="14" spans="1:18" x14ac:dyDescent="0.35">
      <c r="C14" s="2" t="s">
        <v>26</v>
      </c>
      <c r="F14" s="17"/>
      <c r="H14" s="18"/>
    </row>
    <row r="15" spans="1:18" x14ac:dyDescent="0.35">
      <c r="C15" s="2">
        <v>0.5</v>
      </c>
      <c r="D15" s="1">
        <v>15</v>
      </c>
      <c r="E15" s="1">
        <v>0.3</v>
      </c>
      <c r="F15" s="17">
        <f t="shared" ref="F15" si="6">H15*E15</f>
        <v>11921.546158237024</v>
      </c>
      <c r="G15" s="1">
        <f>H15-H15/J15</f>
        <v>4616.9410358863897</v>
      </c>
      <c r="H15" s="18">
        <f t="shared" si="2"/>
        <v>39738.487194123416</v>
      </c>
      <c r="I15" s="1">
        <f t="shared" si="3"/>
        <v>0.41618311017559695</v>
      </c>
      <c r="J15" s="1">
        <f t="shared" si="4"/>
        <v>1.1314560872430037</v>
      </c>
    </row>
    <row r="16" spans="1:18" ht="16" thickBot="1" x14ac:dyDescent="0.4">
      <c r="A16" s="20"/>
      <c r="B16" s="20"/>
      <c r="C16" s="22"/>
      <c r="D16" s="20"/>
      <c r="E16" s="20"/>
      <c r="F16" s="19"/>
      <c r="G16" s="20"/>
      <c r="H16" s="21"/>
      <c r="I16" s="20"/>
      <c r="J16" s="20"/>
    </row>
    <row r="17" spans="1:19" x14ac:dyDescent="0.35">
      <c r="C17" s="2"/>
    </row>
    <row r="18" spans="1:19" x14ac:dyDescent="0.35">
      <c r="C18" s="2"/>
    </row>
    <row r="19" spans="1:19" ht="16" thickBot="1" x14ac:dyDescent="0.4">
      <c r="A19" s="27" t="s">
        <v>2</v>
      </c>
      <c r="B19" s="28">
        <v>0.63</v>
      </c>
      <c r="C19" s="2"/>
    </row>
    <row r="20" spans="1:19" ht="47" customHeight="1" thickTop="1" thickBot="1" x14ac:dyDescent="0.4">
      <c r="A20" s="35" t="s">
        <v>27</v>
      </c>
      <c r="B20" s="36">
        <v>0.56000000000000005</v>
      </c>
      <c r="C20" s="37">
        <f>B20+0.01</f>
        <v>0.57000000000000006</v>
      </c>
      <c r="D20" s="37">
        <f t="shared" ref="D20:I20" si="7">C20+0.01</f>
        <v>0.58000000000000007</v>
      </c>
      <c r="E20" s="37">
        <f t="shared" si="7"/>
        <v>0.59000000000000008</v>
      </c>
      <c r="F20" s="37">
        <f t="shared" si="7"/>
        <v>0.60000000000000009</v>
      </c>
      <c r="G20" s="37">
        <f t="shared" si="7"/>
        <v>0.6100000000000001</v>
      </c>
      <c r="H20" s="37">
        <f t="shared" si="7"/>
        <v>0.62000000000000011</v>
      </c>
      <c r="I20" s="37">
        <f t="shared" si="7"/>
        <v>0.63000000000000012</v>
      </c>
      <c r="J20" s="2"/>
      <c r="K20" s="2" t="s">
        <v>28</v>
      </c>
      <c r="L20" s="1">
        <v>0.01</v>
      </c>
    </row>
    <row r="21" spans="1:19" ht="16" thickTop="1" x14ac:dyDescent="0.35">
      <c r="A21" s="38">
        <f>13</f>
        <v>13</v>
      </c>
      <c r="B21" s="33">
        <f t="shared" ref="B21:I28" si="8">$B$2/(1-(B$20+1-(1/EXP(($B$3*$B$19)/($A21*$B$4)))))</f>
        <v>84167.866100760613</v>
      </c>
      <c r="C21" s="29">
        <f t="shared" si="8"/>
        <v>87336.364118364843</v>
      </c>
      <c r="D21" s="29">
        <f t="shared" si="8"/>
        <v>90752.749988063311</v>
      </c>
      <c r="E21" s="29">
        <f t="shared" si="8"/>
        <v>94447.298284736913</v>
      </c>
      <c r="F21" s="29">
        <f t="shared" si="8"/>
        <v>98455.422714417276</v>
      </c>
      <c r="G21" s="29">
        <f t="shared" si="8"/>
        <v>102818.8149060422</v>
      </c>
      <c r="H21" s="29">
        <f>$B$2/(1-(H$20+1-(1/EXP(($B$3*$B$19)/($A21*$B$4)))))</f>
        <v>107586.90006288741</v>
      </c>
      <c r="I21" s="34">
        <f>$B$2/(1-(I$20+1-(1/EXP(($B$3*$B$19)/($A21*$B$4)))))</f>
        <v>112818.71733312088</v>
      </c>
      <c r="K21" s="1" cm="1">
        <f t="array" ref="K21:K28">A21:A28</f>
        <v>13</v>
      </c>
      <c r="L21" s="1" cm="1">
        <f t="array" ref="L21:S21">B20:I20</f>
        <v>0.56000000000000005</v>
      </c>
      <c r="M21" s="1">
        <v>0.57000000000000006</v>
      </c>
      <c r="N21" s="1">
        <v>0.58000000000000007</v>
      </c>
      <c r="O21" s="1">
        <v>0.59000000000000008</v>
      </c>
      <c r="P21" s="1">
        <v>0.60000000000000009</v>
      </c>
      <c r="Q21" s="1">
        <v>0.6100000000000001</v>
      </c>
      <c r="R21" s="1">
        <v>0.62000000000000011</v>
      </c>
      <c r="S21" s="1">
        <v>0.63000000000000012</v>
      </c>
    </row>
    <row r="22" spans="1:19" x14ac:dyDescent="0.35">
      <c r="A22" s="38">
        <f t="shared" ref="A22:A28" si="9">A21+1</f>
        <v>14</v>
      </c>
      <c r="B22" s="25">
        <f t="shared" si="8"/>
        <v>80998.1753791581</v>
      </c>
      <c r="C22" s="1">
        <f t="shared" si="8"/>
        <v>83928.367013041148</v>
      </c>
      <c r="D22" s="1">
        <f t="shared" si="8"/>
        <v>87078.521366578716</v>
      </c>
      <c r="E22" s="1">
        <f t="shared" si="8"/>
        <v>90474.372477308512</v>
      </c>
      <c r="F22" s="1">
        <f t="shared" si="8"/>
        <v>94145.831542014625</v>
      </c>
      <c r="G22" s="1">
        <f t="shared" si="8"/>
        <v>98127.870312720683</v>
      </c>
      <c r="H22" s="1">
        <f t="shared" si="8"/>
        <v>102461.63858113377</v>
      </c>
      <c r="I22" s="26">
        <f t="shared" si="8"/>
        <v>107195.89146414303</v>
      </c>
      <c r="K22" s="1">
        <v>14</v>
      </c>
      <c r="L22" s="1">
        <f>L21+$L$20</f>
        <v>0.57000000000000006</v>
      </c>
      <c r="M22" s="1">
        <f>M21+$L$20</f>
        <v>0.58000000000000007</v>
      </c>
      <c r="N22" s="1">
        <f t="shared" ref="N22:S22" si="10">N21+$L$20</f>
        <v>0.59000000000000008</v>
      </c>
      <c r="O22" s="1">
        <f t="shared" si="10"/>
        <v>0.60000000000000009</v>
      </c>
      <c r="P22" s="1">
        <f t="shared" si="10"/>
        <v>0.6100000000000001</v>
      </c>
      <c r="Q22" s="1">
        <f t="shared" si="10"/>
        <v>0.62000000000000011</v>
      </c>
      <c r="R22" s="1">
        <f t="shared" si="10"/>
        <v>0.63000000000000012</v>
      </c>
      <c r="S22" s="1">
        <f t="shared" si="10"/>
        <v>0.64000000000000012</v>
      </c>
    </row>
    <row r="23" spans="1:19" x14ac:dyDescent="0.35">
      <c r="A23" s="38">
        <f t="shared" si="9"/>
        <v>15</v>
      </c>
      <c r="B23" s="25">
        <f t="shared" si="8"/>
        <v>78408.277911236772</v>
      </c>
      <c r="C23" s="1">
        <f t="shared" si="8"/>
        <v>81150.908509139335</v>
      </c>
      <c r="D23" s="1">
        <f t="shared" si="8"/>
        <v>84092.361766032773</v>
      </c>
      <c r="E23" s="1">
        <f t="shared" si="8"/>
        <v>87255.070809316327</v>
      </c>
      <c r="F23" s="1">
        <f t="shared" si="8"/>
        <v>90664.975488709548</v>
      </c>
      <c r="G23" s="1">
        <f t="shared" si="8"/>
        <v>94352.235451877408</v>
      </c>
      <c r="H23" s="1">
        <f t="shared" si="8"/>
        <v>98352.124597217524</v>
      </c>
      <c r="I23" s="26">
        <f t="shared" si="8"/>
        <v>102706.16311064885</v>
      </c>
      <c r="K23" s="1">
        <v>15</v>
      </c>
      <c r="L23" s="1">
        <f t="shared" ref="L23:L28" si="11">L22+$L$20</f>
        <v>0.58000000000000007</v>
      </c>
      <c r="M23" s="1">
        <f t="shared" ref="M23:M28" si="12">M22+$L$20</f>
        <v>0.59000000000000008</v>
      </c>
      <c r="N23" s="1">
        <f t="shared" ref="N23:N28" si="13">N22+$L$20</f>
        <v>0.60000000000000009</v>
      </c>
      <c r="O23" s="1">
        <f t="shared" ref="O23:O28" si="14">O22+$L$20</f>
        <v>0.6100000000000001</v>
      </c>
      <c r="P23" s="1">
        <f t="shared" ref="P23:P28" si="15">P22+$L$20</f>
        <v>0.62000000000000011</v>
      </c>
      <c r="Q23" s="1">
        <f t="shared" ref="Q23:Q28" si="16">Q22+$L$20</f>
        <v>0.63000000000000012</v>
      </c>
      <c r="R23" s="1">
        <f t="shared" ref="R23:R28" si="17">R22+$L$20</f>
        <v>0.64000000000000012</v>
      </c>
      <c r="S23" s="1">
        <f t="shared" ref="S23:S28" si="18">S22+$L$20</f>
        <v>0.65000000000000013</v>
      </c>
    </row>
    <row r="24" spans="1:19" x14ac:dyDescent="0.35">
      <c r="A24" s="38">
        <f t="shared" si="9"/>
        <v>16</v>
      </c>
      <c r="B24" s="25">
        <f t="shared" si="8"/>
        <v>76252.545305798121</v>
      </c>
      <c r="C24" s="1">
        <f t="shared" si="8"/>
        <v>78843.946870821965</v>
      </c>
      <c r="D24" s="1">
        <f t="shared" si="8"/>
        <v>81617.679627846839</v>
      </c>
      <c r="E24" s="1">
        <f t="shared" si="8"/>
        <v>84593.688492465793</v>
      </c>
      <c r="F24" s="1">
        <f t="shared" si="8"/>
        <v>87794.937453749415</v>
      </c>
      <c r="G24" s="1">
        <f t="shared" si="8"/>
        <v>91248.003290682609</v>
      </c>
      <c r="H24" s="1">
        <f t="shared" si="8"/>
        <v>94983.815133736382</v>
      </c>
      <c r="I24" s="26">
        <f t="shared" si="8"/>
        <v>99038.583453501255</v>
      </c>
      <c r="K24" s="1">
        <v>16</v>
      </c>
      <c r="L24" s="1">
        <f t="shared" si="11"/>
        <v>0.59000000000000008</v>
      </c>
      <c r="M24" s="1">
        <f t="shared" si="12"/>
        <v>0.60000000000000009</v>
      </c>
      <c r="N24" s="1">
        <f t="shared" si="13"/>
        <v>0.6100000000000001</v>
      </c>
      <c r="O24" s="1">
        <f t="shared" si="14"/>
        <v>0.62000000000000011</v>
      </c>
      <c r="P24" s="1">
        <f t="shared" si="15"/>
        <v>0.63000000000000012</v>
      </c>
      <c r="Q24" s="1">
        <f t="shared" si="16"/>
        <v>0.64000000000000012</v>
      </c>
      <c r="R24" s="1">
        <f t="shared" si="17"/>
        <v>0.65000000000000013</v>
      </c>
      <c r="S24" s="1">
        <f t="shared" si="18"/>
        <v>0.66000000000000014</v>
      </c>
    </row>
    <row r="25" spans="1:19" x14ac:dyDescent="0.35">
      <c r="A25" s="38">
        <f t="shared" si="9"/>
        <v>17</v>
      </c>
      <c r="B25" s="25">
        <f t="shared" si="8"/>
        <v>74430.327181257628</v>
      </c>
      <c r="C25" s="1">
        <f t="shared" si="8"/>
        <v>76897.350881909573</v>
      </c>
      <c r="D25" s="1">
        <f t="shared" si="8"/>
        <v>79533.522068716557</v>
      </c>
      <c r="E25" s="1">
        <f t="shared" si="8"/>
        <v>82356.854260901688</v>
      </c>
      <c r="F25" s="1">
        <f t="shared" si="8"/>
        <v>85388.012940813132</v>
      </c>
      <c r="G25" s="1">
        <f t="shared" si="8"/>
        <v>88650.822232181774</v>
      </c>
      <c r="H25" s="1">
        <f t="shared" si="8"/>
        <v>92172.892359414749</v>
      </c>
      <c r="I25" s="26">
        <f t="shared" si="8"/>
        <v>95986.402867821278</v>
      </c>
      <c r="K25" s="1">
        <v>17</v>
      </c>
      <c r="L25" s="1">
        <f t="shared" si="11"/>
        <v>0.60000000000000009</v>
      </c>
      <c r="M25" s="1">
        <f t="shared" si="12"/>
        <v>0.6100000000000001</v>
      </c>
      <c r="N25" s="1">
        <f t="shared" si="13"/>
        <v>0.62000000000000011</v>
      </c>
      <c r="O25" s="1">
        <f t="shared" si="14"/>
        <v>0.63000000000000012</v>
      </c>
      <c r="P25" s="1">
        <f t="shared" si="15"/>
        <v>0.64000000000000012</v>
      </c>
      <c r="Q25" s="1">
        <f t="shared" si="16"/>
        <v>0.65000000000000013</v>
      </c>
      <c r="R25" s="1">
        <f t="shared" si="17"/>
        <v>0.66000000000000014</v>
      </c>
      <c r="S25" s="1">
        <f t="shared" si="18"/>
        <v>0.67000000000000015</v>
      </c>
    </row>
    <row r="26" spans="1:19" x14ac:dyDescent="0.35">
      <c r="A26" s="38">
        <f>A25+1</f>
        <v>18</v>
      </c>
      <c r="B26" s="25">
        <f t="shared" si="8"/>
        <v>72869.837187088124</v>
      </c>
      <c r="C26" s="1">
        <f t="shared" si="8"/>
        <v>75232.857033266409</v>
      </c>
      <c r="D26" s="1">
        <f t="shared" si="8"/>
        <v>77754.269018078136</v>
      </c>
      <c r="E26" s="1">
        <f t="shared" si="8"/>
        <v>80450.550815831026</v>
      </c>
      <c r="F26" s="1">
        <f t="shared" si="8"/>
        <v>83340.547787734613</v>
      </c>
      <c r="G26" s="1">
        <f t="shared" si="8"/>
        <v>86445.914095819564</v>
      </c>
      <c r="H26" s="1">
        <f t="shared" si="8"/>
        <v>89791.656252243163</v>
      </c>
      <c r="I26" s="26">
        <f t="shared" si="8"/>
        <v>93406.807973437215</v>
      </c>
      <c r="K26" s="1">
        <v>18</v>
      </c>
      <c r="L26" s="1">
        <f>L25+$L$20</f>
        <v>0.6100000000000001</v>
      </c>
      <c r="M26" s="1">
        <f t="shared" si="12"/>
        <v>0.62000000000000011</v>
      </c>
      <c r="N26" s="1">
        <f t="shared" si="13"/>
        <v>0.63000000000000012</v>
      </c>
      <c r="O26" s="1">
        <f t="shared" si="14"/>
        <v>0.64000000000000012</v>
      </c>
      <c r="P26" s="1">
        <f t="shared" si="15"/>
        <v>0.65000000000000013</v>
      </c>
      <c r="Q26" s="1">
        <f t="shared" si="16"/>
        <v>0.66000000000000014</v>
      </c>
      <c r="R26" s="1">
        <f t="shared" si="17"/>
        <v>0.67000000000000015</v>
      </c>
      <c r="S26" s="1">
        <f t="shared" si="18"/>
        <v>0.68000000000000016</v>
      </c>
    </row>
    <row r="27" spans="1:19" x14ac:dyDescent="0.35">
      <c r="A27" s="38">
        <f t="shared" si="9"/>
        <v>19</v>
      </c>
      <c r="B27" s="25">
        <f t="shared" si="8"/>
        <v>71518.501854968985</v>
      </c>
      <c r="C27" s="1">
        <f t="shared" si="8"/>
        <v>73793.32426813936</v>
      </c>
      <c r="D27" s="1">
        <f t="shared" si="8"/>
        <v>76217.61352227423</v>
      </c>
      <c r="E27" s="1">
        <f t="shared" si="8"/>
        <v>78806.60104888989</v>
      </c>
      <c r="F27" s="1">
        <f t="shared" si="8"/>
        <v>81577.660597693422</v>
      </c>
      <c r="G27" s="1">
        <f t="shared" si="8"/>
        <v>84550.698612659544</v>
      </c>
      <c r="H27" s="1">
        <f t="shared" si="8"/>
        <v>87748.633198539974</v>
      </c>
      <c r="I27" s="26">
        <f t="shared" si="8"/>
        <v>91197.986054909721</v>
      </c>
      <c r="K27" s="1">
        <v>19</v>
      </c>
      <c r="L27" s="1">
        <f t="shared" si="11"/>
        <v>0.62000000000000011</v>
      </c>
      <c r="M27" s="1">
        <f t="shared" si="12"/>
        <v>0.63000000000000012</v>
      </c>
      <c r="N27" s="1">
        <f t="shared" si="13"/>
        <v>0.64000000000000012</v>
      </c>
      <c r="O27" s="1">
        <f t="shared" si="14"/>
        <v>0.65000000000000013</v>
      </c>
      <c r="P27" s="1">
        <f t="shared" si="15"/>
        <v>0.66000000000000014</v>
      </c>
      <c r="Q27" s="1">
        <f t="shared" si="16"/>
        <v>0.67000000000000015</v>
      </c>
      <c r="R27" s="1">
        <f t="shared" si="17"/>
        <v>0.68000000000000016</v>
      </c>
      <c r="S27" s="1">
        <f t="shared" si="18"/>
        <v>0.69000000000000017</v>
      </c>
    </row>
    <row r="28" spans="1:19" ht="16" thickBot="1" x14ac:dyDescent="0.4">
      <c r="A28" s="39">
        <f t="shared" si="9"/>
        <v>20</v>
      </c>
      <c r="B28" s="30">
        <f t="shared" si="8"/>
        <v>70336.938207193336</v>
      </c>
      <c r="C28" s="31">
        <f t="shared" si="8"/>
        <v>72536.060804876892</v>
      </c>
      <c r="D28" s="31">
        <f t="shared" si="8"/>
        <v>74877.135126617999</v>
      </c>
      <c r="E28" s="31">
        <f t="shared" si="8"/>
        <v>77374.363876317628</v>
      </c>
      <c r="F28" s="31">
        <f t="shared" si="8"/>
        <v>80043.909826756702</v>
      </c>
      <c r="G28" s="31">
        <f t="shared" si="8"/>
        <v>82904.246030873284</v>
      </c>
      <c r="H28" s="31">
        <f t="shared" si="8"/>
        <v>85976.583903650113</v>
      </c>
      <c r="I28" s="32">
        <f t="shared" si="8"/>
        <v>89285.400152612201</v>
      </c>
      <c r="K28" s="1">
        <v>20</v>
      </c>
      <c r="L28" s="1">
        <f t="shared" si="11"/>
        <v>0.63000000000000012</v>
      </c>
      <c r="M28" s="1">
        <f t="shared" si="12"/>
        <v>0.64000000000000012</v>
      </c>
      <c r="N28" s="1">
        <f t="shared" si="13"/>
        <v>0.65000000000000013</v>
      </c>
      <c r="O28" s="1">
        <f t="shared" si="14"/>
        <v>0.66000000000000014</v>
      </c>
      <c r="P28" s="1">
        <f t="shared" si="15"/>
        <v>0.67000000000000015</v>
      </c>
      <c r="Q28" s="1">
        <f t="shared" si="16"/>
        <v>0.68000000000000016</v>
      </c>
      <c r="R28" s="1">
        <f t="shared" si="17"/>
        <v>0.69000000000000017</v>
      </c>
      <c r="S28" s="1">
        <f t="shared" si="18"/>
        <v>0.70000000000000018</v>
      </c>
    </row>
    <row r="29" spans="1:19" ht="16" thickTop="1" x14ac:dyDescent="0.35"/>
  </sheetData>
  <mergeCells count="3">
    <mergeCell ref="A1:B1"/>
    <mergeCell ref="C1:E1"/>
    <mergeCell ref="F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Sizing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Sidney Selzman</dc:creator>
  <cp:lastModifiedBy>Zach Sidney Selzman</cp:lastModifiedBy>
  <dcterms:created xsi:type="dcterms:W3CDTF">2026-09-28T21:39:10Z</dcterms:created>
  <dcterms:modified xsi:type="dcterms:W3CDTF">2026-10-02T18:26:40Z</dcterms:modified>
</cp:coreProperties>
</file>